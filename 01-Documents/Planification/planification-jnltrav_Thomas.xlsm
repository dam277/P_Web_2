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App\uWAmp-php801\UwAmp\www\P_Web_2\01-Documents\Planification\"/>
    </mc:Choice>
  </mc:AlternateContent>
  <bookViews>
    <workbookView xWindow="0" yWindow="0" windowWidth="28800" windowHeight="1230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  <sheet name="Planning" sheetId="158" r:id="rId7"/>
  </sheets>
  <definedNames>
    <definedName name="datDateBegin">Donnees!$C$9</definedName>
    <definedName name="ListTasks" localSheetId="6">#REF!</definedName>
    <definedName name="ListTasks">#REF!</definedName>
    <definedName name="lstTasks">Donnees!$C$20:$C$45</definedName>
    <definedName name="NbLessons" localSheetId="6">#REF!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223" i="158" l="1"/>
  <c r="B209" i="158"/>
  <c r="B195" i="158"/>
  <c r="B181" i="158"/>
  <c r="B167" i="158"/>
  <c r="B153" i="158"/>
  <c r="B139" i="158"/>
  <c r="B125" i="158"/>
  <c r="B111" i="158"/>
  <c r="B97" i="158"/>
  <c r="B83" i="158"/>
  <c r="B69" i="158"/>
  <c r="B55" i="158"/>
  <c r="B41" i="158"/>
  <c r="B27" i="158"/>
  <c r="B13" i="158"/>
  <c r="D153" i="156" l="1"/>
  <c r="D1" i="156"/>
  <c r="D20" i="156" s="1"/>
  <c r="D39" i="156" s="1"/>
  <c r="B303" i="156"/>
  <c r="B284" i="156"/>
  <c r="B265" i="156"/>
  <c r="B246" i="156"/>
  <c r="B227" i="156"/>
  <c r="B208" i="156"/>
  <c r="B189" i="156"/>
  <c r="B170" i="156"/>
  <c r="B151" i="156"/>
  <c r="B132" i="156"/>
  <c r="B113" i="156"/>
  <c r="B94" i="156"/>
  <c r="B75" i="156"/>
  <c r="B56" i="156"/>
  <c r="B37" i="156"/>
  <c r="B18" i="156"/>
  <c r="D77" i="156" l="1"/>
  <c r="D58" i="156"/>
  <c r="B18" i="154"/>
  <c r="D115" i="156" l="1"/>
  <c r="D96" i="156"/>
  <c r="B13" i="11"/>
  <c r="D134" i="156" l="1"/>
  <c r="D191" i="156" l="1"/>
  <c r="D172" i="156"/>
  <c r="D229" i="156" l="1"/>
  <c r="D210" i="156"/>
  <c r="D267" i="156" l="1"/>
  <c r="D286" i="156" s="1"/>
  <c r="D248" i="156"/>
</calcChain>
</file>

<file path=xl/sharedStrings.xml><?xml version="1.0" encoding="utf-8"?>
<sst xmlns="http://schemas.openxmlformats.org/spreadsheetml/2006/main" count="321" uniqueCount="61">
  <si>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</si>
  <si>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</si>
  <si>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</si>
  <si>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</si>
  <si>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</si>
  <si>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</si>
  <si>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</si>
  <si>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</si>
  <si>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</si>
  <si>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</si>
  <si>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</si>
  <si>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</si>
  <si>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</si>
  <si>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</si>
  <si>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</si>
  <si>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</si>
  <si>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</si>
  <si>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</si>
  <si>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</si>
  <si>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</si>
  <si>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</si>
  <si>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</si>
  <si>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</si>
  <si>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</si>
  <si>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P_Web_2</t>
  </si>
  <si>
    <t>Thomas Rey</t>
  </si>
  <si>
    <t>Cid2</t>
  </si>
  <si>
    <t>ETML - Lausanne</t>
  </si>
  <si>
    <t>Max. 27</t>
  </si>
  <si>
    <t>STOP</t>
  </si>
  <si>
    <t>Max. 12</t>
  </si>
  <si>
    <t>Max. 15</t>
  </si>
  <si>
    <t>CONGE - ASCENTION</t>
  </si>
  <si>
    <t>CONGE - VENDREDI SAINT</t>
  </si>
  <si>
    <t>Lecture CDC</t>
  </si>
  <si>
    <t>Création schémas - maquettes</t>
  </si>
  <si>
    <t>Création schémas - UML</t>
  </si>
  <si>
    <t>Création schémas - Base de donnée</t>
  </si>
  <si>
    <t>Code php - View</t>
  </si>
  <si>
    <t>Code php - Controller</t>
  </si>
  <si>
    <t>Code php - Model</t>
  </si>
  <si>
    <t>Création arborescence de fichiers</t>
  </si>
  <si>
    <t>Code php - Création des tests unitaires</t>
  </si>
  <si>
    <t>Github - Création trello git</t>
  </si>
  <si>
    <t>Github - Configuration git</t>
  </si>
  <si>
    <t>Déployement de l'application / Heroku</t>
  </si>
  <si>
    <t>Configuration du CI</t>
  </si>
  <si>
    <t>Choix du CDC et analyse des demandes</t>
  </si>
  <si>
    <t>Collecte d'information et création du Pipelines</t>
  </si>
  <si>
    <t>Autre</t>
  </si>
  <si>
    <t>Discution sur le projet avec le groupe</t>
  </si>
  <si>
    <t>Configuration du Pipelines</t>
  </si>
  <si>
    <t>Collecte d'information et création du serveur Heroku</t>
  </si>
  <si>
    <t>Test de déployement avec le Pipelines et Heroku</t>
  </si>
  <si>
    <t>Finalisation de la configuration du Heroku</t>
  </si>
  <si>
    <t>Collecte d'infromation sur les tests unitaires et le Pipelines</t>
  </si>
  <si>
    <t>Recherche sur la connection entre la base de donnée du serveur heroku et les page php</t>
  </si>
  <si>
    <t>Finalisation de l'en-tête</t>
  </si>
  <si>
    <t>Création de l'en-tête</t>
  </si>
  <si>
    <t>Familarisation avec tailwind</t>
  </si>
  <si>
    <t>Recherche sur la connection entre la base de donnée du serveur heroku et les page php + tentative de connection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</si>
</sst>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Planification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A16" zoomScaleNormal="100" zoomScaleSheetLayoutView="100" workbookViewId="0">
      <selection activeCell="C34" sqref="C34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44643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44706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16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9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3" t="s">
        <v>19</v>
      </c>
      <c r="C19" s="94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34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35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36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37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38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39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40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1" t="s">
        <v>42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44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43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2" t="s">
        <v>41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45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2" t="s">
        <v>46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49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305"/>
  <sheetViews>
    <sheetView tabSelected="1" topLeftCell="A52" workbookViewId="0">
      <selection activeCell="C83" sqref="C8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44643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34</v>
      </c>
      <c r="B3" s="4">
        <v>6</v>
      </c>
      <c r="C3" s="91" t="s">
        <v>47</v>
      </c>
      <c r="D3" s="9"/>
    </row>
    <row r="4" spans="1:4" s="53" customFormat="1" x14ac:dyDescent="0.25">
      <c r="A4" s="1" t="s">
        <v>49</v>
      </c>
      <c r="B4" s="2">
        <v>5</v>
      </c>
      <c r="C4" s="92" t="s">
        <v>50</v>
      </c>
      <c r="D4" s="10"/>
    </row>
    <row r="5" spans="1:4" s="53" customFormat="1" x14ac:dyDescent="0.25">
      <c r="A5" s="1" t="s">
        <v>46</v>
      </c>
      <c r="B5" s="2">
        <v>4</v>
      </c>
      <c r="C5" s="92" t="s">
        <v>48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15</v>
      </c>
      <c r="C18" s="90" t="s">
        <v>31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$D$1+2</f>
        <v>44645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46</v>
      </c>
      <c r="B22" s="4">
        <v>3</v>
      </c>
      <c r="C22" s="91" t="s">
        <v>51</v>
      </c>
      <c r="D22" s="9"/>
    </row>
    <row r="23" spans="1:9" ht="27" x14ac:dyDescent="0.25">
      <c r="A23" s="1" t="s">
        <v>45</v>
      </c>
      <c r="B23" s="2">
        <v>9</v>
      </c>
      <c r="C23" s="92" t="s">
        <v>52</v>
      </c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90" t="s">
        <v>30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$D$20+5</f>
        <v>44650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ht="27" x14ac:dyDescent="0.25">
      <c r="A41" s="5" t="s">
        <v>45</v>
      </c>
      <c r="B41" s="4">
        <v>10</v>
      </c>
      <c r="C41" s="91" t="s">
        <v>54</v>
      </c>
      <c r="D41" s="9"/>
    </row>
    <row r="42" spans="1:9" ht="27" x14ac:dyDescent="0.25">
      <c r="A42" s="1" t="s">
        <v>45</v>
      </c>
      <c r="B42" s="2">
        <v>4</v>
      </c>
      <c r="C42" s="92" t="s">
        <v>53</v>
      </c>
      <c r="D42" s="10"/>
    </row>
    <row r="43" spans="1:9" x14ac:dyDescent="0.25">
      <c r="A43" s="1" t="s">
        <v>46</v>
      </c>
      <c r="B43" s="2">
        <v>1</v>
      </c>
      <c r="C43" s="92" t="s">
        <v>55</v>
      </c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15</v>
      </c>
      <c r="C56" s="90" t="s">
        <v>31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$D$39+2</f>
        <v>44652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ht="27" x14ac:dyDescent="0.25">
      <c r="A60" s="5" t="s">
        <v>45</v>
      </c>
      <c r="B60" s="4">
        <v>12</v>
      </c>
      <c r="C60" s="91" t="s">
        <v>56</v>
      </c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90" t="s">
        <v>30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$D$39+7</f>
        <v>44657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ht="27" x14ac:dyDescent="0.25">
      <c r="A79" s="5" t="s">
        <v>45</v>
      </c>
      <c r="B79" s="4">
        <v>15</v>
      </c>
      <c r="C79" s="91" t="s">
        <v>60</v>
      </c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15</v>
      </c>
      <c r="C94" s="90" t="s">
        <v>31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$D$77+2</f>
        <v>44659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38</v>
      </c>
      <c r="B98" s="4">
        <v>6</v>
      </c>
      <c r="C98" s="91" t="s">
        <v>59</v>
      </c>
      <c r="D98" s="9"/>
    </row>
    <row r="99" spans="1:4" x14ac:dyDescent="0.25">
      <c r="A99" s="1" t="s">
        <v>38</v>
      </c>
      <c r="B99" s="2">
        <v>4</v>
      </c>
      <c r="C99" s="92" t="s">
        <v>58</v>
      </c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10</v>
      </c>
      <c r="C113" s="90" t="s">
        <v>30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$D$77+7</f>
        <v>44664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 t="s">
        <v>38</v>
      </c>
      <c r="B117" s="4">
        <v>15</v>
      </c>
      <c r="C117" s="91" t="s">
        <v>57</v>
      </c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15</v>
      </c>
      <c r="C132" s="90" t="s">
        <v>31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$D$115+2</f>
        <v>44666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21</v>
      </c>
      <c r="B136" s="4">
        <v>12</v>
      </c>
      <c r="C136" s="91" t="s">
        <v>33</v>
      </c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12</v>
      </c>
      <c r="C151" s="90" t="s">
        <v>30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$D$115+7*3</f>
        <v>44685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0</v>
      </c>
      <c r="C170" s="90" t="s">
        <v>31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$D$153+2</f>
        <v>44687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90" t="s">
        <v>30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$D$153+7</f>
        <v>44692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0</v>
      </c>
      <c r="C208" s="90" t="s">
        <v>31</v>
      </c>
      <c r="D208" s="49"/>
    </row>
    <row r="209" spans="1:4" ht="15" thickBot="1" x14ac:dyDescent="0.35">
      <c r="A209" s="50"/>
      <c r="B209" s="50"/>
      <c r="C209" s="50"/>
      <c r="D209" s="50"/>
    </row>
    <row r="210" spans="1:4" ht="18.75" thickBot="1" x14ac:dyDescent="0.3">
      <c r="A210" s="43" t="s">
        <v>14</v>
      </c>
      <c r="B210" s="44">
        <v>12</v>
      </c>
      <c r="C210" s="45" t="s">
        <v>23</v>
      </c>
      <c r="D210" s="54">
        <f>$D$191+2</f>
        <v>44694</v>
      </c>
    </row>
    <row r="211" spans="1:4" ht="27.75" thickBot="1" x14ac:dyDescent="0.3">
      <c r="A211" s="46" t="s">
        <v>3</v>
      </c>
      <c r="B211" s="47" t="s">
        <v>15</v>
      </c>
      <c r="C211" s="46" t="s">
        <v>7</v>
      </c>
      <c r="D211" s="46" t="s">
        <v>13</v>
      </c>
    </row>
    <row r="212" spans="1:4" x14ac:dyDescent="0.25">
      <c r="A212" s="5"/>
      <c r="B212" s="4"/>
      <c r="C212" s="9"/>
      <c r="D212" s="9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1"/>
      <c r="B224" s="51"/>
      <c r="C224" s="52"/>
      <c r="D224" s="52"/>
    </row>
    <row r="225" spans="1:4" x14ac:dyDescent="0.25">
      <c r="A225" s="51"/>
      <c r="B225" s="51"/>
      <c r="C225" s="52"/>
      <c r="D225" s="52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8" t="s">
        <v>22</v>
      </c>
      <c r="B227" s="48">
        <f>SUM(B212:B226)</f>
        <v>0</v>
      </c>
      <c r="C227" s="90" t="s">
        <v>30</v>
      </c>
      <c r="D227" s="49"/>
    </row>
    <row r="228" spans="1:4" ht="15" thickBot="1" x14ac:dyDescent="0.35">
      <c r="A228" s="50"/>
      <c r="B228" s="50"/>
      <c r="C228" s="50"/>
      <c r="D228" s="50"/>
    </row>
    <row r="229" spans="1:4" ht="18.75" thickBot="1" x14ac:dyDescent="0.3">
      <c r="A229" s="43" t="s">
        <v>14</v>
      </c>
      <c r="B229" s="44">
        <v>13</v>
      </c>
      <c r="C229" s="45" t="s">
        <v>23</v>
      </c>
      <c r="D229" s="54">
        <f>$D$191+7</f>
        <v>44699</v>
      </c>
    </row>
    <row r="230" spans="1:4" ht="27.75" thickBot="1" x14ac:dyDescent="0.3">
      <c r="A230" s="46" t="s">
        <v>3</v>
      </c>
      <c r="B230" s="47" t="s">
        <v>15</v>
      </c>
      <c r="C230" s="46" t="s">
        <v>7</v>
      </c>
      <c r="D230" s="46" t="s">
        <v>13</v>
      </c>
    </row>
    <row r="231" spans="1:4" x14ac:dyDescent="0.25">
      <c r="A231" s="5"/>
      <c r="B231" s="4"/>
      <c r="C231" s="9"/>
      <c r="D231" s="9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1"/>
      <c r="B243" s="51"/>
      <c r="C243" s="52"/>
      <c r="D243" s="52"/>
    </row>
    <row r="244" spans="1:4" x14ac:dyDescent="0.25">
      <c r="A244" s="51"/>
      <c r="B244" s="51"/>
      <c r="C244" s="52"/>
      <c r="D244" s="52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8" t="s">
        <v>22</v>
      </c>
      <c r="B246" s="48">
        <f>SUM(B231:B245)</f>
        <v>0</v>
      </c>
      <c r="C246" s="90" t="s">
        <v>31</v>
      </c>
      <c r="D246" s="49"/>
    </row>
    <row r="247" spans="1:4" ht="15" thickBot="1" x14ac:dyDescent="0.35">
      <c r="A247" s="50"/>
      <c r="B247" s="50"/>
      <c r="C247" s="50"/>
      <c r="D247" s="50"/>
    </row>
    <row r="248" spans="1:4" ht="18.75" thickBot="1" x14ac:dyDescent="0.3">
      <c r="A248" s="43" t="s">
        <v>14</v>
      </c>
      <c r="B248" s="44">
        <v>14</v>
      </c>
      <c r="C248" s="45" t="s">
        <v>23</v>
      </c>
      <c r="D248" s="54">
        <f>$D$229+2</f>
        <v>44701</v>
      </c>
    </row>
    <row r="249" spans="1:4" ht="27.75" thickBot="1" x14ac:dyDescent="0.3">
      <c r="A249" s="46" t="s">
        <v>3</v>
      </c>
      <c r="B249" s="47" t="s">
        <v>15</v>
      </c>
      <c r="C249" s="46" t="s">
        <v>7</v>
      </c>
      <c r="D249" s="46" t="s">
        <v>13</v>
      </c>
    </row>
    <row r="250" spans="1:4" x14ac:dyDescent="0.25">
      <c r="A250" s="5"/>
      <c r="B250" s="4"/>
      <c r="C250" s="9"/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1"/>
      <c r="B262" s="51"/>
      <c r="C262" s="52"/>
      <c r="D262" s="52"/>
    </row>
    <row r="263" spans="1:4" x14ac:dyDescent="0.25">
      <c r="A263" s="51"/>
      <c r="B263" s="51"/>
      <c r="C263" s="52"/>
      <c r="D263" s="52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8" t="s">
        <v>22</v>
      </c>
      <c r="B265" s="48">
        <f>SUM(B250:B264)</f>
        <v>0</v>
      </c>
      <c r="C265" s="90" t="s">
        <v>30</v>
      </c>
      <c r="D265" s="49"/>
    </row>
    <row r="266" spans="1:4" ht="15" thickBot="1" x14ac:dyDescent="0.35">
      <c r="A266" s="50"/>
      <c r="B266" s="50"/>
      <c r="C266" s="50"/>
      <c r="D266" s="50"/>
    </row>
    <row r="267" spans="1:4" ht="18.75" thickBot="1" x14ac:dyDescent="0.3">
      <c r="A267" s="43" t="s">
        <v>14</v>
      </c>
      <c r="B267" s="44">
        <v>15</v>
      </c>
      <c r="C267" s="45" t="s">
        <v>23</v>
      </c>
      <c r="D267" s="54">
        <f>$D$229+7</f>
        <v>44706</v>
      </c>
    </row>
    <row r="268" spans="1:4" ht="27.75" thickBot="1" x14ac:dyDescent="0.3">
      <c r="A268" s="46" t="s">
        <v>3</v>
      </c>
      <c r="B268" s="47" t="s">
        <v>15</v>
      </c>
      <c r="C268" s="46" t="s">
        <v>7</v>
      </c>
      <c r="D268" s="46" t="s">
        <v>13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1"/>
      <c r="B281" s="51"/>
      <c r="C281" s="52"/>
      <c r="D281" s="52"/>
    </row>
    <row r="282" spans="1:4" x14ac:dyDescent="0.25">
      <c r="A282" s="51"/>
      <c r="B282" s="51"/>
      <c r="C282" s="52"/>
      <c r="D282" s="52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8" t="s">
        <v>22</v>
      </c>
      <c r="B284" s="48">
        <f>SUM(B269:B283)</f>
        <v>0</v>
      </c>
      <c r="C284" s="90" t="s">
        <v>31</v>
      </c>
      <c r="D284" s="49"/>
    </row>
    <row r="285" spans="1:4" ht="15" thickBot="1" x14ac:dyDescent="0.35">
      <c r="A285" s="50"/>
      <c r="B285" s="50"/>
      <c r="C285" s="50"/>
      <c r="D285" s="50"/>
    </row>
    <row r="286" spans="1:4" ht="18.75" thickBot="1" x14ac:dyDescent="0.3">
      <c r="A286" s="43" t="s">
        <v>14</v>
      </c>
      <c r="B286" s="44">
        <v>16</v>
      </c>
      <c r="C286" s="45" t="s">
        <v>23</v>
      </c>
      <c r="D286" s="54">
        <f>$D$267+2</f>
        <v>44708</v>
      </c>
    </row>
    <row r="287" spans="1:4" ht="27.75" thickBot="1" x14ac:dyDescent="0.3">
      <c r="A287" s="46" t="s">
        <v>3</v>
      </c>
      <c r="B287" s="47" t="s">
        <v>15</v>
      </c>
      <c r="C287" s="46" t="s">
        <v>7</v>
      </c>
      <c r="D287" s="46" t="s">
        <v>13</v>
      </c>
    </row>
    <row r="288" spans="1:4" x14ac:dyDescent="0.25">
      <c r="A288" s="5" t="s">
        <v>21</v>
      </c>
      <c r="B288" s="4">
        <v>12</v>
      </c>
      <c r="C288" s="91" t="s">
        <v>32</v>
      </c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1"/>
      <c r="B300" s="51"/>
      <c r="C300" s="52"/>
      <c r="D300" s="52"/>
    </row>
    <row r="301" spans="1:4" x14ac:dyDescent="0.25">
      <c r="A301" s="51"/>
      <c r="B301" s="51"/>
      <c r="C301" s="52"/>
      <c r="D301" s="52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8" t="s">
        <v>22</v>
      </c>
      <c r="B303" s="48">
        <f>SUM(B288:B302)</f>
        <v>12</v>
      </c>
      <c r="C303" s="90" t="s">
        <v>30</v>
      </c>
      <c r="D303" s="49"/>
    </row>
    <row r="304" spans="1:4" ht="14.25" x14ac:dyDescent="0.3">
      <c r="A304" s="50"/>
      <c r="B304" s="50"/>
      <c r="C304" s="50"/>
      <c r="D304" s="50"/>
    </row>
    <row r="305" spans="1:1" x14ac:dyDescent="0.25">
      <c r="A305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288:B302 B22:B36 B41:B55 B60:B74 B79:B93 B98:B112 B117:B131 B136:B150 B155:B169 B174:B188 B193:B207 B212:B226 B231:B245 B250:B264 B269:B283 B3:B17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">
      <formula1>0</formula1>
      <formula2>NbPerWeek * NbQuartPer</formula2>
    </dataValidation>
    <dataValidation type="list" allowBlank="1" showInputMessage="1" showErrorMessage="1" sqref="A288:A302 A22:A36 A41:A55 A60:A74 A3:A17 A98:A112 A117:A131 A136:A150 A155:A169 A174:A188 A193:A207 A212:A226 A231:A245 A250:A264 A269:A283 A79:A93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225"/>
  <sheetViews>
    <sheetView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88" t="s">
        <v>28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88" t="s">
        <v>28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88" t="s">
        <v>28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88" t="s">
        <v>28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8" t="s">
        <v>28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8" t="s">
        <v>28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8" t="s">
        <v>28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8" t="s">
        <v>28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0</v>
      </c>
      <c r="C125" s="88" t="s">
        <v>28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0</v>
      </c>
      <c r="C139" s="88" t="s">
        <v>28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/>
      <c r="B143" s="4"/>
      <c r="C143" s="9"/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0</v>
      </c>
      <c r="C153" s="88" t="s">
        <v>28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0</v>
      </c>
      <c r="C167" s="88" t="s">
        <v>28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0</v>
      </c>
      <c r="C181" s="88" t="s">
        <v>28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0</v>
      </c>
      <c r="C195" s="88" t="s">
        <v>28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88" t="s">
        <v>28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88" t="s">
        <v>28</v>
      </c>
      <c r="D223" s="13"/>
    </row>
    <row r="224" spans="1:4" ht="14.25" x14ac:dyDescent="0.3">
      <c r="A224" s="14"/>
      <c r="B224" s="14"/>
      <c r="C224" s="14"/>
      <c r="D224" s="14"/>
    </row>
    <row r="225" spans="1:1" x14ac:dyDescent="0.25">
      <c r="A225" s="89" t="s">
        <v>29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Damien Loup</dc:creator>
  <cp:lastModifiedBy>Thomas Rey</cp:lastModifiedBy>
  <cp:lastPrinted>2013-08-29T11:33:15Z</cp:lastPrinted>
  <dcterms:created xsi:type="dcterms:W3CDTF">1996-10-21T11:03:58Z</dcterms:created>
  <dcterms:modified xsi:type="dcterms:W3CDTF">2022-05-04T08:15:45Z</dcterms:modified>
</cp:coreProperties>
</file>