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damloup\Desktop\FichierGit\01-Documents\Planification\"/>
    </mc:Choice>
  </mc:AlternateContent>
  <bookViews>
    <workbookView xWindow="0" yWindow="0" windowWidth="28800" windowHeight="12300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6" r:id="rId6"/>
    <sheet name="Planning" sheetId="158" r:id="rId7"/>
  </sheets>
  <definedNames>
    <definedName name="datDateBegin">Donnees!$C$9</definedName>
    <definedName name="ListTasks" localSheetId="6">#REF!</definedName>
    <definedName name="ListTasks">#REF!</definedName>
    <definedName name="lstTasks">Donnees!$C$20:$C$45</definedName>
    <definedName name="NbLessons" localSheetId="6">#REF!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223" i="158" l="1"/>
  <c r="B209" i="158"/>
  <c r="B195" i="158"/>
  <c r="B181" i="158"/>
  <c r="B167" i="158"/>
  <c r="B153" i="158"/>
  <c r="B139" i="158"/>
  <c r="B125" i="158"/>
  <c r="B111" i="158"/>
  <c r="B97" i="158"/>
  <c r="B83" i="158"/>
  <c r="B69" i="158"/>
  <c r="B55" i="158"/>
  <c r="B41" i="158"/>
  <c r="B27" i="158"/>
  <c r="B13" i="158"/>
  <c r="D153" i="156" l="1"/>
  <c r="D1" i="156"/>
  <c r="D20" i="156" s="1"/>
  <c r="D39" i="156" s="1"/>
  <c r="B303" i="156"/>
  <c r="B284" i="156"/>
  <c r="B265" i="156"/>
  <c r="B246" i="156"/>
  <c r="B227" i="156"/>
  <c r="B208" i="156"/>
  <c r="B189" i="156"/>
  <c r="B170" i="156"/>
  <c r="B151" i="156"/>
  <c r="B132" i="156"/>
  <c r="B113" i="156"/>
  <c r="B94" i="156"/>
  <c r="B75" i="156"/>
  <c r="B56" i="156"/>
  <c r="B37" i="156"/>
  <c r="B18" i="156"/>
  <c r="D77" i="156" l="1"/>
  <c r="D58" i="156"/>
  <c r="B18" i="154"/>
  <c r="D115" i="156" l="1"/>
  <c r="D96" i="156"/>
  <c r="B13" i="11"/>
  <c r="D134" i="156" l="1"/>
  <c r="D191" i="156" l="1"/>
  <c r="D172" i="156"/>
  <c r="D229" i="156" l="1"/>
  <c r="D210" i="156"/>
  <c r="D267" i="156" l="1"/>
  <c r="D286" i="156" s="1"/>
  <c r="D248" i="156"/>
</calcChain>
</file>

<file path=xl/sharedStrings.xml><?xml version="1.0" encoding="utf-8"?>
<sst xmlns="http://schemas.openxmlformats.org/spreadsheetml/2006/main" count="293" uniqueCount="46">
  <si>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</si>
  <si>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</si>
  <si>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</si>
  <si>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</si>
  <si>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</si>
  <si>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</si>
  <si>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</si>
  <si>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</si>
  <si>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</si>
  <si>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</si>
  <si>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</si>
  <si>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</si>
  <si>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</si>
  <si>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</si>
  <si>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</si>
  <si>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</si>
  <si>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</si>
  <si>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</si>
  <si>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</si>
  <si>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</si>
  <si>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</si>
  <si>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</si>
  <si>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</si>
  <si>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</si>
  <si>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P_Web_2</t>
  </si>
  <si>
    <t>Thomas Rey</t>
  </si>
  <si>
    <t>Cid2</t>
  </si>
  <si>
    <t>ETML - Lausanne</t>
  </si>
  <si>
    <t>Max. 27</t>
  </si>
  <si>
    <t>STOP</t>
  </si>
  <si>
    <t>Max. 12</t>
  </si>
  <si>
    <t>Max. 15</t>
  </si>
  <si>
    <t>CONGE - ASCENTION</t>
  </si>
  <si>
    <t>CONGE - VENDREDI SAINT</t>
  </si>
  <si>
    <t>Lecture CDC</t>
  </si>
  <si>
    <t>Création schémas - maquettes</t>
  </si>
  <si>
    <t>Création schémas - UML</t>
  </si>
  <si>
    <t>Création schémas - Base de donnée</t>
  </si>
  <si>
    <t>Code php - View</t>
  </si>
  <si>
    <t>Code php - Controller</t>
  </si>
  <si>
    <t>Code php - Model</t>
  </si>
  <si>
    <t>Création arborescence de fichiers</t>
  </si>
  <si>
    <t>Code php - Création des tests unitaires</t>
  </si>
  <si>
    <t>Github - Création trello git</t>
  </si>
  <si>
    <t>Github - Configuration git</t>
  </si>
  <si>
    <t>Déployement de l'application / Heroku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</si>
</sst>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5057" name="btnImportPlanification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tabSelected="1" view="pageBreakPreview" zoomScaleNormal="100" zoomScaleSheetLayoutView="100" workbookViewId="0">
      <selection activeCell="E8" sqref="E8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44643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44706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16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9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2" t="s">
        <v>19</v>
      </c>
      <c r="C19" s="93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34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35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36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37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38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39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40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41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44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43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45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42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4" t="s">
        <v>21</v>
      </c>
      <c r="C3" s="16">
        <v>0</v>
      </c>
    </row>
    <row r="4" spans="1:4" ht="19.5" customHeight="1" x14ac:dyDescent="0.25">
      <c r="A4" s="19"/>
      <c r="B4" s="95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305"/>
  <sheetViews>
    <sheetView workbookViewId="0">
      <selection activeCell="A22" sqref="A22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44643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90" t="s">
        <v>31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$D$1+2</f>
        <v>44645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0</v>
      </c>
      <c r="C37" s="90" t="s">
        <v>30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$D$20+5</f>
        <v>44650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90" t="s">
        <v>31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$D$39+2</f>
        <v>44652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90" t="s">
        <v>30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$D$39+7</f>
        <v>44657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0" t="s">
        <v>31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$D$77+2</f>
        <v>44659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0" t="s">
        <v>30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$D$77+7</f>
        <v>44664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0" t="s">
        <v>31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$D$115+2</f>
        <v>44666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 t="s">
        <v>21</v>
      </c>
      <c r="B136" s="4">
        <v>12</v>
      </c>
      <c r="C136" s="91" t="s">
        <v>33</v>
      </c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12</v>
      </c>
      <c r="C151" s="90" t="s">
        <v>30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$D$115+7*3</f>
        <v>44685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0</v>
      </c>
      <c r="C170" s="90" t="s">
        <v>31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$D$153+2</f>
        <v>44687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0</v>
      </c>
      <c r="C189" s="90" t="s">
        <v>30</v>
      </c>
      <c r="D189" s="49"/>
    </row>
    <row r="190" spans="1:4" ht="15" thickBot="1" x14ac:dyDescent="0.35">
      <c r="A190" s="50"/>
      <c r="B190" s="50"/>
      <c r="C190" s="50"/>
      <c r="D190" s="50"/>
    </row>
    <row r="191" spans="1:4" ht="18.75" thickBot="1" x14ac:dyDescent="0.3">
      <c r="A191" s="43" t="s">
        <v>14</v>
      </c>
      <c r="B191" s="44">
        <v>11</v>
      </c>
      <c r="C191" s="45" t="s">
        <v>23</v>
      </c>
      <c r="D191" s="54">
        <f>$D$153+7</f>
        <v>44692</v>
      </c>
    </row>
    <row r="192" spans="1:4" ht="27.75" thickBot="1" x14ac:dyDescent="0.3">
      <c r="A192" s="46" t="s">
        <v>3</v>
      </c>
      <c r="B192" s="47" t="s">
        <v>15</v>
      </c>
      <c r="C192" s="46" t="s">
        <v>7</v>
      </c>
      <c r="D192" s="46" t="s">
        <v>13</v>
      </c>
    </row>
    <row r="193" spans="1:4" x14ac:dyDescent="0.25">
      <c r="A193" s="5"/>
      <c r="B193" s="4"/>
      <c r="C193" s="9"/>
      <c r="D193" s="9"/>
    </row>
    <row r="194" spans="1:4" x14ac:dyDescent="0.25">
      <c r="A194" s="1"/>
      <c r="B194" s="2"/>
      <c r="C194" s="10"/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1"/>
      <c r="B205" s="51"/>
      <c r="C205" s="52"/>
      <c r="D205" s="52"/>
    </row>
    <row r="206" spans="1:4" x14ac:dyDescent="0.25">
      <c r="A206" s="51"/>
      <c r="B206" s="51"/>
      <c r="C206" s="52"/>
      <c r="D206" s="52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8" t="s">
        <v>22</v>
      </c>
      <c r="B208" s="48">
        <f>SUM(B193:B207)</f>
        <v>0</v>
      </c>
      <c r="C208" s="90" t="s">
        <v>31</v>
      </c>
      <c r="D208" s="49"/>
    </row>
    <row r="209" spans="1:4" ht="15" thickBot="1" x14ac:dyDescent="0.35">
      <c r="A209" s="50"/>
      <c r="B209" s="50"/>
      <c r="C209" s="50"/>
      <c r="D209" s="50"/>
    </row>
    <row r="210" spans="1:4" ht="18.75" thickBot="1" x14ac:dyDescent="0.3">
      <c r="A210" s="43" t="s">
        <v>14</v>
      </c>
      <c r="B210" s="44">
        <v>12</v>
      </c>
      <c r="C210" s="45" t="s">
        <v>23</v>
      </c>
      <c r="D210" s="54">
        <f>$D$191+2</f>
        <v>44694</v>
      </c>
    </row>
    <row r="211" spans="1:4" ht="27.75" thickBot="1" x14ac:dyDescent="0.3">
      <c r="A211" s="46" t="s">
        <v>3</v>
      </c>
      <c r="B211" s="47" t="s">
        <v>15</v>
      </c>
      <c r="C211" s="46" t="s">
        <v>7</v>
      </c>
      <c r="D211" s="46" t="s">
        <v>13</v>
      </c>
    </row>
    <row r="212" spans="1:4" x14ac:dyDescent="0.25">
      <c r="A212" s="5"/>
      <c r="B212" s="4"/>
      <c r="C212" s="9"/>
      <c r="D212" s="9"/>
    </row>
    <row r="213" spans="1:4" x14ac:dyDescent="0.25">
      <c r="A213" s="1"/>
      <c r="B213" s="2"/>
      <c r="C213" s="10"/>
      <c r="D213" s="10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x14ac:dyDescent="0.25">
      <c r="A222" s="2"/>
      <c r="B222" s="2"/>
      <c r="C222" s="10"/>
      <c r="D222" s="10"/>
    </row>
    <row r="223" spans="1:4" x14ac:dyDescent="0.25">
      <c r="A223" s="2"/>
      <c r="B223" s="2"/>
      <c r="C223" s="10"/>
      <c r="D223" s="10"/>
    </row>
    <row r="224" spans="1:4" x14ac:dyDescent="0.25">
      <c r="A224" s="51"/>
      <c r="B224" s="51"/>
      <c r="C224" s="52"/>
      <c r="D224" s="52"/>
    </row>
    <row r="225" spans="1:4" x14ac:dyDescent="0.25">
      <c r="A225" s="51"/>
      <c r="B225" s="51"/>
      <c r="C225" s="52"/>
      <c r="D225" s="52"/>
    </row>
    <row r="226" spans="1:4" ht="14.25" thickBot="1" x14ac:dyDescent="0.3">
      <c r="A226" s="3"/>
      <c r="B226" s="3"/>
      <c r="C226" s="11"/>
      <c r="D226" s="11"/>
    </row>
    <row r="227" spans="1:4" ht="14.25" thickBot="1" x14ac:dyDescent="0.3">
      <c r="A227" s="48" t="s">
        <v>22</v>
      </c>
      <c r="B227" s="48">
        <f>SUM(B212:B226)</f>
        <v>0</v>
      </c>
      <c r="C227" s="90" t="s">
        <v>30</v>
      </c>
      <c r="D227" s="49"/>
    </row>
    <row r="228" spans="1:4" ht="15" thickBot="1" x14ac:dyDescent="0.35">
      <c r="A228" s="50"/>
      <c r="B228" s="50"/>
      <c r="C228" s="50"/>
      <c r="D228" s="50"/>
    </row>
    <row r="229" spans="1:4" ht="18.75" thickBot="1" x14ac:dyDescent="0.3">
      <c r="A229" s="43" t="s">
        <v>14</v>
      </c>
      <c r="B229" s="44">
        <v>13</v>
      </c>
      <c r="C229" s="45" t="s">
        <v>23</v>
      </c>
      <c r="D229" s="54">
        <f>$D$191+7</f>
        <v>44699</v>
      </c>
    </row>
    <row r="230" spans="1:4" ht="27.75" thickBot="1" x14ac:dyDescent="0.3">
      <c r="A230" s="46" t="s">
        <v>3</v>
      </c>
      <c r="B230" s="47" t="s">
        <v>15</v>
      </c>
      <c r="C230" s="46" t="s">
        <v>7</v>
      </c>
      <c r="D230" s="46" t="s">
        <v>13</v>
      </c>
    </row>
    <row r="231" spans="1:4" x14ac:dyDescent="0.25">
      <c r="A231" s="5"/>
      <c r="B231" s="4"/>
      <c r="C231" s="9"/>
      <c r="D231" s="9"/>
    </row>
    <row r="232" spans="1:4" x14ac:dyDescent="0.25">
      <c r="A232" s="1"/>
      <c r="B232" s="2"/>
      <c r="C232" s="10"/>
      <c r="D232" s="10"/>
    </row>
    <row r="233" spans="1:4" x14ac:dyDescent="0.25">
      <c r="A233" s="1"/>
      <c r="B233" s="2"/>
      <c r="C233" s="10"/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1"/>
      <c r="B237" s="2"/>
      <c r="C237" s="10"/>
      <c r="D237" s="10"/>
    </row>
    <row r="238" spans="1:4" x14ac:dyDescent="0.25">
      <c r="A238" s="1"/>
      <c r="B238" s="2"/>
      <c r="C238" s="10"/>
      <c r="D238" s="10"/>
    </row>
    <row r="239" spans="1:4" x14ac:dyDescent="0.25">
      <c r="A239" s="1"/>
      <c r="B239" s="2"/>
      <c r="C239" s="10"/>
      <c r="D239" s="10"/>
    </row>
    <row r="240" spans="1:4" x14ac:dyDescent="0.25">
      <c r="A240" s="2"/>
      <c r="B240" s="2"/>
      <c r="C240" s="10"/>
      <c r="D240" s="10"/>
    </row>
    <row r="241" spans="1:4" x14ac:dyDescent="0.25">
      <c r="A241" s="2"/>
      <c r="B241" s="2"/>
      <c r="C241" s="10"/>
      <c r="D241" s="10"/>
    </row>
    <row r="242" spans="1:4" x14ac:dyDescent="0.25">
      <c r="A242" s="2"/>
      <c r="B242" s="2"/>
      <c r="C242" s="10"/>
      <c r="D242" s="10"/>
    </row>
    <row r="243" spans="1:4" x14ac:dyDescent="0.25">
      <c r="A243" s="51"/>
      <c r="B243" s="51"/>
      <c r="C243" s="52"/>
      <c r="D243" s="52"/>
    </row>
    <row r="244" spans="1:4" x14ac:dyDescent="0.25">
      <c r="A244" s="51"/>
      <c r="B244" s="51"/>
      <c r="C244" s="52"/>
      <c r="D244" s="52"/>
    </row>
    <row r="245" spans="1:4" ht="14.25" thickBot="1" x14ac:dyDescent="0.3">
      <c r="A245" s="3"/>
      <c r="B245" s="3"/>
      <c r="C245" s="11"/>
      <c r="D245" s="11"/>
    </row>
    <row r="246" spans="1:4" ht="14.25" thickBot="1" x14ac:dyDescent="0.3">
      <c r="A246" s="48" t="s">
        <v>22</v>
      </c>
      <c r="B246" s="48">
        <f>SUM(B231:B245)</f>
        <v>0</v>
      </c>
      <c r="C246" s="90" t="s">
        <v>31</v>
      </c>
      <c r="D246" s="49"/>
    </row>
    <row r="247" spans="1:4" ht="15" thickBot="1" x14ac:dyDescent="0.35">
      <c r="A247" s="50"/>
      <c r="B247" s="50"/>
      <c r="C247" s="50"/>
      <c r="D247" s="50"/>
    </row>
    <row r="248" spans="1:4" ht="18.75" thickBot="1" x14ac:dyDescent="0.3">
      <c r="A248" s="43" t="s">
        <v>14</v>
      </c>
      <c r="B248" s="44">
        <v>14</v>
      </c>
      <c r="C248" s="45" t="s">
        <v>23</v>
      </c>
      <c r="D248" s="54">
        <f>$D$229+2</f>
        <v>44701</v>
      </c>
    </row>
    <row r="249" spans="1:4" ht="27.75" thickBot="1" x14ac:dyDescent="0.3">
      <c r="A249" s="46" t="s">
        <v>3</v>
      </c>
      <c r="B249" s="47" t="s">
        <v>15</v>
      </c>
      <c r="C249" s="46" t="s">
        <v>7</v>
      </c>
      <c r="D249" s="46" t="s">
        <v>13</v>
      </c>
    </row>
    <row r="250" spans="1:4" x14ac:dyDescent="0.25">
      <c r="A250" s="5"/>
      <c r="B250" s="4"/>
      <c r="C250" s="9"/>
      <c r="D250" s="9"/>
    </row>
    <row r="251" spans="1:4" x14ac:dyDescent="0.25">
      <c r="A251" s="1"/>
      <c r="B251" s="2"/>
      <c r="C251" s="10"/>
      <c r="D251" s="10"/>
    </row>
    <row r="252" spans="1:4" x14ac:dyDescent="0.25">
      <c r="A252" s="1"/>
      <c r="B252" s="2"/>
      <c r="C252" s="10"/>
      <c r="D252" s="10"/>
    </row>
    <row r="253" spans="1:4" x14ac:dyDescent="0.25">
      <c r="A253" s="1"/>
      <c r="B253" s="2"/>
      <c r="C253" s="10"/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2"/>
      <c r="B259" s="2"/>
      <c r="C259" s="10"/>
      <c r="D259" s="10"/>
    </row>
    <row r="260" spans="1:4" x14ac:dyDescent="0.25">
      <c r="A260" s="2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51"/>
      <c r="B262" s="51"/>
      <c r="C262" s="52"/>
      <c r="D262" s="52"/>
    </row>
    <row r="263" spans="1:4" x14ac:dyDescent="0.25">
      <c r="A263" s="51"/>
      <c r="B263" s="51"/>
      <c r="C263" s="52"/>
      <c r="D263" s="52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48" t="s">
        <v>22</v>
      </c>
      <c r="B265" s="48">
        <f>SUM(B250:B264)</f>
        <v>0</v>
      </c>
      <c r="C265" s="90" t="s">
        <v>30</v>
      </c>
      <c r="D265" s="49"/>
    </row>
    <row r="266" spans="1:4" ht="15" thickBot="1" x14ac:dyDescent="0.35">
      <c r="A266" s="50"/>
      <c r="B266" s="50"/>
      <c r="C266" s="50"/>
      <c r="D266" s="50"/>
    </row>
    <row r="267" spans="1:4" ht="18.75" thickBot="1" x14ac:dyDescent="0.3">
      <c r="A267" s="43" t="s">
        <v>14</v>
      </c>
      <c r="B267" s="44">
        <v>15</v>
      </c>
      <c r="C267" s="45" t="s">
        <v>23</v>
      </c>
      <c r="D267" s="54">
        <f>$D$229+7</f>
        <v>44706</v>
      </c>
    </row>
    <row r="268" spans="1:4" ht="27.75" thickBot="1" x14ac:dyDescent="0.3">
      <c r="A268" s="46" t="s">
        <v>3</v>
      </c>
      <c r="B268" s="47" t="s">
        <v>15</v>
      </c>
      <c r="C268" s="46" t="s">
        <v>7</v>
      </c>
      <c r="D268" s="46" t="s">
        <v>13</v>
      </c>
    </row>
    <row r="269" spans="1:4" x14ac:dyDescent="0.25">
      <c r="A269" s="5"/>
      <c r="B269" s="4"/>
      <c r="C269" s="9"/>
      <c r="D269" s="9"/>
    </row>
    <row r="270" spans="1:4" x14ac:dyDescent="0.25">
      <c r="A270" s="1"/>
      <c r="B270" s="2"/>
      <c r="C270" s="10"/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1"/>
      <c r="B275" s="2"/>
      <c r="C275" s="10"/>
      <c r="D275" s="10"/>
    </row>
    <row r="276" spans="1:4" x14ac:dyDescent="0.25">
      <c r="A276" s="1"/>
      <c r="B276" s="2"/>
      <c r="C276" s="10"/>
      <c r="D276" s="10"/>
    </row>
    <row r="277" spans="1:4" x14ac:dyDescent="0.25">
      <c r="A277" s="1"/>
      <c r="B277" s="2"/>
      <c r="C277" s="10"/>
      <c r="D277" s="10"/>
    </row>
    <row r="278" spans="1:4" x14ac:dyDescent="0.25">
      <c r="A278" s="2"/>
      <c r="B278" s="2"/>
      <c r="C278" s="10"/>
      <c r="D278" s="10"/>
    </row>
    <row r="279" spans="1:4" x14ac:dyDescent="0.25">
      <c r="A279" s="2"/>
      <c r="B279" s="2"/>
      <c r="C279" s="10"/>
      <c r="D279" s="10"/>
    </row>
    <row r="280" spans="1:4" x14ac:dyDescent="0.25">
      <c r="A280" s="2"/>
      <c r="B280" s="2"/>
      <c r="C280" s="10"/>
      <c r="D280" s="10"/>
    </row>
    <row r="281" spans="1:4" x14ac:dyDescent="0.25">
      <c r="A281" s="51"/>
      <c r="B281" s="51"/>
      <c r="C281" s="52"/>
      <c r="D281" s="52"/>
    </row>
    <row r="282" spans="1:4" x14ac:dyDescent="0.25">
      <c r="A282" s="51"/>
      <c r="B282" s="51"/>
      <c r="C282" s="52"/>
      <c r="D282" s="52"/>
    </row>
    <row r="283" spans="1:4" ht="14.25" thickBot="1" x14ac:dyDescent="0.3">
      <c r="A283" s="3"/>
      <c r="B283" s="3"/>
      <c r="C283" s="11"/>
      <c r="D283" s="11"/>
    </row>
    <row r="284" spans="1:4" ht="14.25" thickBot="1" x14ac:dyDescent="0.3">
      <c r="A284" s="48" t="s">
        <v>22</v>
      </c>
      <c r="B284" s="48">
        <f>SUM(B269:B283)</f>
        <v>0</v>
      </c>
      <c r="C284" s="90" t="s">
        <v>31</v>
      </c>
      <c r="D284" s="49"/>
    </row>
    <row r="285" spans="1:4" ht="15" thickBot="1" x14ac:dyDescent="0.35">
      <c r="A285" s="50"/>
      <c r="B285" s="50"/>
      <c r="C285" s="50"/>
      <c r="D285" s="50"/>
    </row>
    <row r="286" spans="1:4" ht="18.75" thickBot="1" x14ac:dyDescent="0.3">
      <c r="A286" s="43" t="s">
        <v>14</v>
      </c>
      <c r="B286" s="44">
        <v>16</v>
      </c>
      <c r="C286" s="45" t="s">
        <v>23</v>
      </c>
      <c r="D286" s="54">
        <f>$D$267+2</f>
        <v>44708</v>
      </c>
    </row>
    <row r="287" spans="1:4" ht="27.75" thickBot="1" x14ac:dyDescent="0.3">
      <c r="A287" s="46" t="s">
        <v>3</v>
      </c>
      <c r="B287" s="47" t="s">
        <v>15</v>
      </c>
      <c r="C287" s="46" t="s">
        <v>7</v>
      </c>
      <c r="D287" s="46" t="s">
        <v>13</v>
      </c>
    </row>
    <row r="288" spans="1:4" x14ac:dyDescent="0.25">
      <c r="A288" s="5" t="s">
        <v>21</v>
      </c>
      <c r="B288" s="4">
        <v>12</v>
      </c>
      <c r="C288" s="91" t="s">
        <v>32</v>
      </c>
      <c r="D288" s="9"/>
    </row>
    <row r="289" spans="1:4" x14ac:dyDescent="0.25">
      <c r="A289" s="1"/>
      <c r="B289" s="2"/>
      <c r="C289" s="10"/>
      <c r="D289" s="10"/>
    </row>
    <row r="290" spans="1:4" x14ac:dyDescent="0.25">
      <c r="A290" s="1"/>
      <c r="B290" s="2"/>
      <c r="C290" s="10"/>
      <c r="D290" s="10"/>
    </row>
    <row r="291" spans="1:4" x14ac:dyDescent="0.25">
      <c r="A291" s="1"/>
      <c r="B291" s="2"/>
      <c r="C291" s="10"/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1"/>
      <c r="B294" s="2"/>
      <c r="C294" s="10"/>
      <c r="D294" s="10"/>
    </row>
    <row r="295" spans="1:4" x14ac:dyDescent="0.25">
      <c r="A295" s="1"/>
      <c r="B295" s="2"/>
      <c r="C295" s="10"/>
      <c r="D295" s="10"/>
    </row>
    <row r="296" spans="1:4" x14ac:dyDescent="0.25">
      <c r="A296" s="1"/>
      <c r="B296" s="2"/>
      <c r="C296" s="10"/>
      <c r="D296" s="10"/>
    </row>
    <row r="297" spans="1:4" x14ac:dyDescent="0.25">
      <c r="A297" s="2"/>
      <c r="B297" s="2"/>
      <c r="C297" s="10"/>
      <c r="D297" s="10"/>
    </row>
    <row r="298" spans="1:4" x14ac:dyDescent="0.25">
      <c r="A298" s="2"/>
      <c r="B298" s="2"/>
      <c r="C298" s="10"/>
      <c r="D298" s="10"/>
    </row>
    <row r="299" spans="1:4" x14ac:dyDescent="0.25">
      <c r="A299" s="2"/>
      <c r="B299" s="2"/>
      <c r="C299" s="10"/>
      <c r="D299" s="10"/>
    </row>
    <row r="300" spans="1:4" x14ac:dyDescent="0.25">
      <c r="A300" s="51"/>
      <c r="B300" s="51"/>
      <c r="C300" s="52"/>
      <c r="D300" s="52"/>
    </row>
    <row r="301" spans="1:4" x14ac:dyDescent="0.25">
      <c r="A301" s="51"/>
      <c r="B301" s="51"/>
      <c r="C301" s="52"/>
      <c r="D301" s="52"/>
    </row>
    <row r="302" spans="1:4" ht="14.25" thickBot="1" x14ac:dyDescent="0.3">
      <c r="A302" s="3"/>
      <c r="B302" s="3"/>
      <c r="C302" s="11"/>
      <c r="D302" s="11"/>
    </row>
    <row r="303" spans="1:4" ht="14.25" thickBot="1" x14ac:dyDescent="0.3">
      <c r="A303" s="48" t="s">
        <v>22</v>
      </c>
      <c r="B303" s="48">
        <f>SUM(B288:B302)</f>
        <v>12</v>
      </c>
      <c r="C303" s="90" t="s">
        <v>30</v>
      </c>
      <c r="D303" s="49"/>
    </row>
    <row r="304" spans="1:4" ht="14.25" x14ac:dyDescent="0.3">
      <c r="A304" s="50"/>
      <c r="B304" s="50"/>
      <c r="C304" s="50"/>
      <c r="D304" s="50"/>
    </row>
    <row r="305" spans="1:1" x14ac:dyDescent="0.25">
      <c r="A305" s="89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 B288:B302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 A288:A30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225"/>
  <sheetViews>
    <sheetView topLeftCell="A223"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88" t="s">
        <v>28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/>
      <c r="B17" s="4"/>
      <c r="C17" s="9"/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0</v>
      </c>
      <c r="C27" s="88" t="s">
        <v>28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0</v>
      </c>
      <c r="C41" s="88" t="s">
        <v>28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88" t="s">
        <v>28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88" t="s">
        <v>28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88" t="s">
        <v>28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8" t="s">
        <v>28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88" t="s">
        <v>28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/>
      <c r="B115" s="4"/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0</v>
      </c>
      <c r="C125" s="88" t="s">
        <v>28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/>
      <c r="B129" s="4"/>
      <c r="C129" s="9"/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0</v>
      </c>
      <c r="C139" s="88" t="s">
        <v>28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7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5"/>
      <c r="B143" s="4"/>
      <c r="C143" s="9"/>
      <c r="D143" s="9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0</v>
      </c>
      <c r="C153" s="88" t="s">
        <v>28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7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/>
      <c r="B157" s="4"/>
      <c r="C157" s="9"/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22</v>
      </c>
      <c r="B167" s="12">
        <f>SUM(B157:B166)</f>
        <v>0</v>
      </c>
      <c r="C167" s="88" t="s">
        <v>28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7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/>
      <c r="B171" s="4"/>
      <c r="C171" s="9"/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22</v>
      </c>
      <c r="B181" s="12">
        <f>SUM(B171:B180)</f>
        <v>0</v>
      </c>
      <c r="C181" s="88" t="s">
        <v>28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7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/>
      <c r="B185" s="4"/>
      <c r="C185" s="9"/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22</v>
      </c>
      <c r="B195" s="12">
        <f>SUM(B185:B194)</f>
        <v>0</v>
      </c>
      <c r="C195" s="88" t="s">
        <v>28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7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x14ac:dyDescent="0.25">
      <c r="A199" s="5"/>
      <c r="B199" s="4"/>
      <c r="C199" s="9"/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22</v>
      </c>
      <c r="B209" s="12">
        <f>SUM(B199:B208)</f>
        <v>0</v>
      </c>
      <c r="C209" s="88" t="s">
        <v>28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7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/>
      <c r="B213" s="4"/>
      <c r="C213" s="9"/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22</v>
      </c>
      <c r="B223" s="12">
        <f>SUM(B213:B222)</f>
        <v>0</v>
      </c>
      <c r="C223" s="88" t="s">
        <v>28</v>
      </c>
      <c r="D223" s="13"/>
    </row>
    <row r="224" spans="1:4" ht="14.25" x14ac:dyDescent="0.3">
      <c r="A224" s="14"/>
      <c r="B224" s="14"/>
      <c r="C224" s="14"/>
      <c r="D224" s="14"/>
    </row>
    <row r="225" spans="1:1" x14ac:dyDescent="0.25">
      <c r="A225" s="89" t="s">
        <v>29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05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5057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Damien Loup</dc:creator>
  <cp:lastModifiedBy>Damien Loup</cp:lastModifiedBy>
  <cp:lastPrinted>2013-08-29T11:33:15Z</cp:lastPrinted>
  <dcterms:created xsi:type="dcterms:W3CDTF">1996-10-21T11:03:58Z</dcterms:created>
  <dcterms:modified xsi:type="dcterms:W3CDTF">2022-03-23T13:28:47Z</dcterms:modified>
</cp:coreProperties>
</file>